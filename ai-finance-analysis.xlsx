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TU VERMA\Desktop\ai-finance-agent\"/>
    </mc:Choice>
  </mc:AlternateContent>
  <xr:revisionPtr revIDLastSave="0" documentId="13_ncr:1_{16CF22B8-AD37-408B-854B-C183E9FD2D2B}" xr6:coauthVersionLast="47" xr6:coauthVersionMax="47" xr10:uidLastSave="{00000000-0000-0000-0000-000000000000}"/>
  <bookViews>
    <workbookView xWindow="-110" yWindow="-110" windowWidth="19420" windowHeight="10300" activeTab="5" xr2:uid="{45018EF3-0EAC-4032-A99F-81FFFCBD858E}"/>
  </bookViews>
  <sheets>
    <sheet name="invoices (capital I)" sheetId="2" r:id="rId1"/>
    <sheet name="claims" sheetId="4" r:id="rId2"/>
    <sheet name="budget" sheetId="6" r:id="rId3"/>
    <sheet name="payments" sheetId="3" r:id="rId4"/>
    <sheet name="settlements" sheetId="5" r:id="rId5"/>
    <sheet name="analysis" sheetId="1" r:id="rId6"/>
    <sheet name="Sheet2" sheetId="7" r:id="rId7"/>
  </sheets>
  <definedNames>
    <definedName name="ExternalData_1" localSheetId="0" hidden="1">'invoices (capital I)'!$A$1:$D$6</definedName>
    <definedName name="ExternalData_2" localSheetId="3" hidden="1">payments!$A$1:$C$4</definedName>
    <definedName name="ExternalData_3" localSheetId="1" hidden="1">'claims'!$A$1:$E$6</definedName>
    <definedName name="ExternalData_4" localSheetId="4" hidden="1">settlements!$A$1:$D$4</definedName>
    <definedName name="ExternalData_5" localSheetId="2" hidden="1">budget!$A$1:$D$7</definedName>
  </definedNames>
  <calcPr calcId="191029"/>
  <pivotCaches>
    <pivotCache cacheId="0" r:id="rId8"/>
    <pivotCache cacheId="1" r:id="rId9"/>
    <pivotCache cacheId="2" r:id="rId10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F2F645C-6965-4A1B-98B5-B3844EE8EB98}" keepAlive="1" name="Query - budget" description="Connection to the 'budget' query in the workbook." type="5" refreshedVersion="8" background="1" saveData="1">
    <dbPr connection="Provider=Microsoft.Mashup.OleDb.1;Data Source=$Workbook$;Location=budget;Extended Properties=&quot;&quot;" command="SELECT * FROM [budget]"/>
  </connection>
  <connection id="2" xr16:uid="{B6544E6D-BBCB-43F5-9BDD-59F364E8A4B5}" keepAlive="1" name="Query - claims" description="Connection to the 'claims' query in the workbook." type="5" refreshedVersion="8" background="1" saveData="1">
    <dbPr connection="Provider=Microsoft.Mashup.OleDb.1;Data Source=$Workbook$;Location=claims;Extended Properties=&quot;&quot;" command="SELECT * FROM [claims]"/>
  </connection>
  <connection id="3" xr16:uid="{2AC5B5D8-FFCA-4DB3-9C65-7531ECB6485F}" keepAlive="1" name="Query - invoices (capital I)" description="Connection to the 'invoices (capital I)' query in the workbook." type="5" refreshedVersion="8" background="1" saveData="1">
    <dbPr connection="Provider=Microsoft.Mashup.OleDb.1;Data Source=$Workbook$;Location=&quot;invoices (capital I)&quot;;Extended Properties=&quot;&quot;" command="SELECT * FROM [invoices (capital I)]"/>
  </connection>
  <connection id="4" xr16:uid="{D67781AF-0285-4B6A-9151-415A3A1F657A}" keepAlive="1" name="Query - payments" description="Connection to the 'payments' query in the workbook." type="5" refreshedVersion="8" background="1" saveData="1">
    <dbPr connection="Provider=Microsoft.Mashup.OleDb.1;Data Source=$Workbook$;Location=payments;Extended Properties=&quot;&quot;" command="SELECT * FROM [payments]"/>
  </connection>
  <connection id="5" xr16:uid="{5237AC29-B902-4462-A5B6-8F5EA952BF0D}" keepAlive="1" name="Query - settlements" description="Connection to the 'settlements' query in the workbook." type="5" refreshedVersion="8" background="1" saveData="1">
    <dbPr connection="Provider=Microsoft.Mashup.OleDb.1;Data Source=$Workbook$;Location=settlements;Extended Properties=&quot;&quot;" command="SELECT * FROM [settlements]"/>
  </connection>
</connections>
</file>

<file path=xl/sharedStrings.xml><?xml version="1.0" encoding="utf-8"?>
<sst xmlns="http://schemas.openxmlformats.org/spreadsheetml/2006/main" count="84" uniqueCount="57">
  <si>
    <t>invoice_id</t>
  </si>
  <si>
    <t>vendor</t>
  </si>
  <si>
    <t>amount</t>
  </si>
  <si>
    <t>date</t>
  </si>
  <si>
    <t>INV001</t>
  </si>
  <si>
    <t>ABC Corp</t>
  </si>
  <si>
    <t>INV002</t>
  </si>
  <si>
    <t>XYZ Ltd</t>
  </si>
  <si>
    <t>INV003</t>
  </si>
  <si>
    <t>PQR Inc</t>
  </si>
  <si>
    <t>INV004</t>
  </si>
  <si>
    <t>LMN Co</t>
  </si>
  <si>
    <t>INV005</t>
  </si>
  <si>
    <t>DEF Ltd</t>
  </si>
  <si>
    <t>paid_amount</t>
  </si>
  <si>
    <t>payment_date</t>
  </si>
  <si>
    <t>claim_id</t>
  </si>
  <si>
    <t>patient</t>
  </si>
  <si>
    <t>amount_claimed</t>
  </si>
  <si>
    <t>claim_date</t>
  </si>
  <si>
    <t>insurer</t>
  </si>
  <si>
    <t>CLM001</t>
  </si>
  <si>
    <t>Raj Sharma</t>
  </si>
  <si>
    <t>Star Health</t>
  </si>
  <si>
    <t>CLM002</t>
  </si>
  <si>
    <t>Priya Mehta</t>
  </si>
  <si>
    <t>HDFC Ergo</t>
  </si>
  <si>
    <t>CLM003</t>
  </si>
  <si>
    <t>Amit Singh</t>
  </si>
  <si>
    <t>CLM004</t>
  </si>
  <si>
    <t>Sunita Rao</t>
  </si>
  <si>
    <t>ICICI Lombard</t>
  </si>
  <si>
    <t>CLM005</t>
  </si>
  <si>
    <t>Vikram Das</t>
  </si>
  <si>
    <t>amount_settled</t>
  </si>
  <si>
    <t>settlement_date</t>
  </si>
  <si>
    <t>status</t>
  </si>
  <si>
    <t>settled</t>
  </si>
  <si>
    <t>month</t>
  </si>
  <si>
    <t>income</t>
  </si>
  <si>
    <t>expenses</t>
  </si>
  <si>
    <t>category</t>
  </si>
  <si>
    <t>Operations</t>
  </si>
  <si>
    <t>Row Labels</t>
  </si>
  <si>
    <t>Grand Total</t>
  </si>
  <si>
    <t>Total amount (Rs.)</t>
  </si>
  <si>
    <t>Total Claimed (Rs.)</t>
  </si>
  <si>
    <t>Insurer</t>
  </si>
  <si>
    <t>Jan</t>
  </si>
  <si>
    <t>Feb</t>
  </si>
  <si>
    <t>Sep</t>
  </si>
  <si>
    <t>Oct</t>
  </si>
  <si>
    <t>Nov</t>
  </si>
  <si>
    <t>Dec</t>
  </si>
  <si>
    <t>Month</t>
  </si>
  <si>
    <t>Income (Rs.)</t>
  </si>
  <si>
    <t>Expenses (Rs.)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</si>
</sst>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14">
    <dxf>
      <numFmt numFmtId="0" formatCode="General"/>
    </dxf>
    <dxf>
      <numFmt numFmtId="19" formatCode="m/d/yyyy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[ai-finance-analysis.xlsx]analysis!PivotTable1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Invoice</a:t>
            </a:r>
            <a:r>
              <a:rPr lang="en-US" baseline="0"/>
              <a:t> Amount by Vendor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analysis!$A$2:$A$7</c:f>
              <c:strCache>
                <c:ptCount val="5"/>
                <c:pt idx="0">
                  <c:v>ABC Corp</c:v>
                </c:pt>
                <c:pt idx="1">
                  <c:v>DEF Ltd</c:v>
                </c:pt>
                <c:pt idx="2">
                  <c:v>LMN Co</c:v>
                </c:pt>
                <c:pt idx="3">
                  <c:v>PQR Inc</c:v>
                </c:pt>
                <c:pt idx="4">
                  <c:v>XYZ Ltd</c:v>
                </c:pt>
              </c:strCache>
            </c:strRef>
          </c:cat>
          <c:val>
            <c:numRef>
              <c:f>analysis!$B$2:$B$7</c:f>
              <c:numCache>
                <c:formatCode>General</c:formatCode>
                <c:ptCount val="5"/>
                <c:pt idx="0">
                  <c:v>5000</c:v>
                </c:pt>
                <c:pt idx="1">
                  <c:v>6200</c:v>
                </c:pt>
                <c:pt idx="2">
                  <c:v>4500</c:v>
                </c:pt>
                <c:pt idx="3">
                  <c:v>7800</c:v>
                </c:pt>
                <c:pt idx="4">
                  <c:v>3200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84-4187-B3E2-C98C5614B8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039584"/>
        <c:axId val="41036224"/>
      </c:barChart>
      <c:catAx>
        <c:axId val="410395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Vendor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36224"/>
        <c:crosses val="autoZero"/>
        <c:auto val="1"/>
        <c:lblAlgn val="ctr"/>
        <c:lblOffset val="100"/>
        <c:noMultiLvlLbl val="0"/>
      </c:catAx>
      <c:valAx>
        <c:axId val="41036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Amount</a:t>
                </a:r>
                <a:r>
                  <a:rPr lang="en-US" baseline="0"/>
                  <a:t> (Rs.)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39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[ai-finance-analysis.xlsx]analysis!PivotTable2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Claims</a:t>
            </a:r>
            <a:r>
              <a:rPr lang="en-US" baseline="0"/>
              <a:t> by Insurer</a:t>
            </a:r>
            <a:endParaRPr lang="en-US"/>
          </a:p>
        </c:rich>
      </c:tx>
      <c:layout>
        <c:manualLayout>
          <c:xMode val="edge"/>
          <c:yMode val="edge"/>
          <c:x val="0.33686111111111111"/>
          <c:y val="0.1008311461067366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analysis!$B$35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28A-4CC3-8543-08AE5B26655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28A-4CC3-8543-08AE5B26655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28A-4CC3-8543-08AE5B266557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analysis!$A$36:$A$39</c:f>
              <c:strCache>
                <c:ptCount val="3"/>
                <c:pt idx="0">
                  <c:v>HDFC Ergo</c:v>
                </c:pt>
                <c:pt idx="1">
                  <c:v>ICICI Lombard</c:v>
                </c:pt>
                <c:pt idx="2">
                  <c:v>Star Health</c:v>
                </c:pt>
              </c:strCache>
            </c:strRef>
          </c:cat>
          <c:val>
            <c:numRef>
              <c:f>analysis!$B$36:$B$39</c:f>
              <c:numCache>
                <c:formatCode>General</c:formatCode>
                <c:ptCount val="3"/>
                <c:pt idx="0">
                  <c:v>81000</c:v>
                </c:pt>
                <c:pt idx="1">
                  <c:v>72000</c:v>
                </c:pt>
                <c:pt idx="2">
                  <c:v>40000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75-41B8-B351-40DDB67BBD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[ai-finance-analysis.xlsx]analysis!PivotTable3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Income vs Expenses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analysis!$B$58</c:f>
              <c:strCache>
                <c:ptCount val="1"/>
                <c:pt idx="0">
                  <c:v>Income (Rs.)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analysis!$A$59:$A$65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Sep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analysis!$B$59:$B$65</c:f>
              <c:numCache>
                <c:formatCode>General</c:formatCode>
                <c:ptCount val="6"/>
                <c:pt idx="0">
                  <c:v>90000</c:v>
                </c:pt>
                <c:pt idx="1">
                  <c:v>93000</c:v>
                </c:pt>
                <c:pt idx="2">
                  <c:v>85000</c:v>
                </c:pt>
                <c:pt idx="3">
                  <c:v>88000</c:v>
                </c:pt>
                <c:pt idx="4">
                  <c:v>82000</c:v>
                </c:pt>
                <c:pt idx="5">
                  <c:v>95000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37-4C41-B4DA-F607326F0353}"/>
            </c:ext>
          </c:extLst>
        </c:ser>
        <c:ser>
          <c:idx val="1"/>
          <c:order val="1"/>
          <c:tx>
            <c:strRef>
              <c:f>analysis!$C$58</c:f>
              <c:strCache>
                <c:ptCount val="1"/>
                <c:pt idx="0">
                  <c:v>Expenses (Rs.)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analysis!$A$59:$A$65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Sep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analysis!$C$59:$C$65</c:f>
              <c:numCache>
                <c:formatCode>General</c:formatCode>
                <c:ptCount val="6"/>
                <c:pt idx="0">
                  <c:v>74000</c:v>
                </c:pt>
                <c:pt idx="1">
                  <c:v>78000</c:v>
                </c:pt>
                <c:pt idx="2">
                  <c:v>68000</c:v>
                </c:pt>
                <c:pt idx="3">
                  <c:v>71000</c:v>
                </c:pt>
                <c:pt idx="4">
                  <c:v>75000</c:v>
                </c:pt>
                <c:pt idx="5">
                  <c:v>82000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037-4C41-B4DA-F607326F035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2049584832"/>
        <c:axId val="2049581952"/>
      </c:lineChart>
      <c:catAx>
        <c:axId val="20495848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9581952"/>
        <c:crosses val="autoZero"/>
        <c:auto val="1"/>
        <c:lblAlgn val="ctr"/>
        <c:lblOffset val="100"/>
        <c:noMultiLvlLbl val="0"/>
      </c:catAx>
      <c:valAx>
        <c:axId val="2049581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Amount</a:t>
                </a:r>
                <a:r>
                  <a:rPr lang="en-US" baseline="0"/>
                  <a:t> (Rs.)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9584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215899</xdr:colOff>
      <xdr:row>8</xdr:row>
      <xdr:rowOff>165099</xdr:rowOff>
    </xdr:from>
    <xdr:to>
      <xdr:col>10</xdr:col>
      <xdr:colOff>107950</xdr:colOff>
      <xdr:row>26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B8F593-6DC3-1890-C786-D08A1C4259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40</xdr:row>
      <xdr:rowOff>53975</xdr:rowOff>
    </xdr:from>
    <xdr:to>
      <xdr:col>6</xdr:col>
      <xdr:colOff>101600</xdr:colOff>
      <xdr:row>55</xdr:row>
      <xdr:rowOff>34925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206F92A-2651-8670-0DED-0B0F3F74CD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70</xdr:row>
      <xdr:rowOff>177800</xdr:rowOff>
    </xdr:from>
    <xdr:to>
      <xdr:col>6</xdr:col>
      <xdr:colOff>323850</xdr:colOff>
      <xdr:row>89</xdr:row>
      <xdr:rowOff>31750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7AF5166-9940-3E3D-28B3-01495EE454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TU VERMA" refreshedDate="46116.709620138892" createdVersion="8" refreshedVersion="8" minRefreshableVersion="3" recordCount="5" xr:uid="{9C5A7CB6-EF28-49D0-B8A0-6F8421F56B2D}">
  <cacheSource type="worksheet">
    <worksheetSource name="invoices__capital_I"/>
  </cacheSource>
  <cacheFields count="4">
    <cacheField name="invoice_id" numFmtId="0">
      <sharedItems/>
    </cacheField>
    <cacheField name="vendor" numFmtId="0">
      <sharedItems count="5">
        <s v="ABC Corp"/>
        <s v="XYZ Ltd"/>
        <s v="PQR Inc"/>
        <s v="LMN Co"/>
        <s v="DEF Ltd"/>
      </sharedItems>
    </cacheField>
    <cacheField name="amount" numFmtId="0">
      <sharedItems containsSemiMixedTypes="0" containsString="0" containsNumber="1" containsInteger="1" minValue="3200" maxValue="7800"/>
    </cacheField>
    <cacheField name="date" numFmtId="14">
      <sharedItems containsSemiMixedTypes="0" containsNonDate="0" containsDate="1" containsString="0" minDate="2024-01-10T00:00:00" maxDate="2024-01-21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TU VERMA" refreshedDate="46116.875164004632" createdVersion="8" refreshedVersion="8" minRefreshableVersion="3" recordCount="5" xr:uid="{5C853E1B-82E1-4E09-9BDB-DEEB40753E2D}">
  <cacheSource type="worksheet">
    <worksheetSource name="claims"/>
  </cacheSource>
  <cacheFields count="5">
    <cacheField name="claim_id" numFmtId="0">
      <sharedItems/>
    </cacheField>
    <cacheField name="patient" numFmtId="0">
      <sharedItems/>
    </cacheField>
    <cacheField name="amount_claimed" numFmtId="0">
      <sharedItems containsSemiMixedTypes="0" containsString="0" containsNumber="1" containsInteger="1" minValue="15000" maxValue="72000"/>
    </cacheField>
    <cacheField name="claim_date" numFmtId="14">
      <sharedItems containsSemiMixedTypes="0" containsNonDate="0" containsDate="1" containsString="0" minDate="2024-01-05T00:00:00" maxDate="2024-01-16T00:00:00"/>
    </cacheField>
    <cacheField name="insurer" numFmtId="0">
      <sharedItems count="3">
        <s v="Star Health"/>
        <s v="HDFC Ergo"/>
        <s v="ICICI Lombar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TU VERMA" refreshedDate="46116.882910995373" createdVersion="8" refreshedVersion="8" minRefreshableVersion="3" recordCount="6" xr:uid="{FBCAC9DC-0223-455E-B921-AA3FA958AD54}">
  <cacheSource type="worksheet">
    <worksheetSource name="budget"/>
  </cacheSource>
  <cacheFields count="5">
    <cacheField name="month" numFmtId="14">
      <sharedItems containsSemiMixedTypes="0" containsNonDate="0" containsDate="1" containsString="0" minDate="2023-09-01T00:00:00" maxDate="2024-02-02T00:00:00" count="6">
        <d v="2023-09-01T00:00:00"/>
        <d v="2023-10-01T00:00:00"/>
        <d v="2023-11-01T00:00:00"/>
        <d v="2023-12-01T00:00:00"/>
        <d v="2024-01-01T00:00:00"/>
        <d v="2024-02-01T00:00:00"/>
      </sharedItems>
      <fieldGroup par="4"/>
    </cacheField>
    <cacheField name="income" numFmtId="0">
      <sharedItems containsSemiMixedTypes="0" containsString="0" containsNumber="1" containsInteger="1" minValue="82000" maxValue="95000"/>
    </cacheField>
    <cacheField name="expenses" numFmtId="0">
      <sharedItems containsSemiMixedTypes="0" containsString="0" containsNumber="1" containsInteger="1" minValue="68000" maxValue="82000"/>
    </cacheField>
    <cacheField name="category" numFmtId="0">
      <sharedItems/>
    </cacheField>
    <cacheField name="Months (month)" numFmtId="0" databaseField="0">
      <fieldGroup base="0">
        <rangePr groupBy="months" startDate="2023-09-01T00:00:00" endDate="2024-02-02T00:00:00"/>
        <groupItems count="14">
          <s v="&lt;9/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/2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s v="INV001"/>
    <x v="0"/>
    <n v="5000"/>
    <d v="2024-01-10T00:00:00"/>
  </r>
  <r>
    <s v="INV002"/>
    <x v="1"/>
    <n v="3200"/>
    <d v="2024-01-12T00:00:00"/>
  </r>
  <r>
    <s v="INV003"/>
    <x v="2"/>
    <n v="7800"/>
    <d v="2024-01-15T00:00:00"/>
  </r>
  <r>
    <s v="INV004"/>
    <x v="3"/>
    <n v="4500"/>
    <d v="2024-01-18T00:00:00"/>
  </r>
  <r>
    <s v="INV005"/>
    <x v="4"/>
    <n v="6200"/>
    <d v="2024-01-20T00:00: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s v="CLM001"/>
    <s v="Raj Sharma"/>
    <n v="25000"/>
    <d v="2024-01-05T00:00:00"/>
    <x v="0"/>
  </r>
  <r>
    <s v="CLM002"/>
    <s v="Priya Mehta"/>
    <n v="48000"/>
    <d v="2024-01-08T00:00:00"/>
    <x v="1"/>
  </r>
  <r>
    <s v="CLM003"/>
    <s v="Amit Singh"/>
    <n v="15000"/>
    <d v="2024-01-10T00:00:00"/>
    <x v="0"/>
  </r>
  <r>
    <s v="CLM004"/>
    <s v="Sunita Rao"/>
    <n v="72000"/>
    <d v="2024-01-12T00:00:00"/>
    <x v="2"/>
  </r>
  <r>
    <s v="CLM005"/>
    <s v="Vikram Das"/>
    <n v="33000"/>
    <d v="2024-01-15T00:00:00"/>
    <x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n v="85000"/>
    <n v="68000"/>
    <s v="Operations"/>
  </r>
  <r>
    <x v="1"/>
    <n v="88000"/>
    <n v="71000"/>
    <s v="Operations"/>
  </r>
  <r>
    <x v="2"/>
    <n v="82000"/>
    <n v="75000"/>
    <s v="Operations"/>
  </r>
  <r>
    <x v="3"/>
    <n v="95000"/>
    <n v="82000"/>
    <s v="Operations"/>
  </r>
  <r>
    <x v="4"/>
    <n v="90000"/>
    <n v="74000"/>
    <s v="Operations"/>
  </r>
  <r>
    <x v="5"/>
    <n v="93000"/>
    <n v="78000"/>
    <s v="Operation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E4646E-9C71-474D-BB8A-5667DE7D557D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Month">
  <location ref="A58:C65" firstHeaderRow="0" firstDataRow="1" firstDataCol="1"/>
  <pivotFields count="5">
    <pivotField numFmtId="14" showAll="0">
      <items count="7">
        <item x="0"/>
        <item x="1"/>
        <item x="2"/>
        <item x="3"/>
        <item x="4"/>
        <item x="5"/>
        <item t="default"/>
      </items>
    </pivotField>
    <pivotField dataField="1" showAll="0"/>
    <pivotField dataField="1"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7">
    <i>
      <x v="1"/>
    </i>
    <i>
      <x v="2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Income (Rs.)" fld="1" baseField="4" baseItem="1"/>
    <dataField name="Expenses (Rs.)" fld="2" baseField="4" baseItem="1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1BDAA0-4406-4341-A7B6-D58E1B134C1D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 rowHeaderCaption="Insurer">
  <location ref="A35:B39" firstHeaderRow="1" firstDataRow="1" firstDataCol="1"/>
  <pivotFields count="5">
    <pivotField showAll="0"/>
    <pivotField showAll="0"/>
    <pivotField dataField="1" showAll="0"/>
    <pivotField numFmtId="14" showAll="0"/>
    <pivotField axis="axisRow" showAll="0">
      <items count="4">
        <item x="1"/>
        <item x="2"/>
        <item x="0"/>
        <item t="default"/>
      </items>
    </pivotField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Total Claimed (Rs.)" fld="2" baseField="4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4D3E64-3B5E-4CE7-8FBD-59C348F11AD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1:B7" firstHeaderRow="1" firstDataRow="1" firstDataCol="1"/>
  <pivotFields count="4">
    <pivotField showAll="0"/>
    <pivotField axis="axisRow" showAll="0">
      <items count="6">
        <item x="0"/>
        <item x="4"/>
        <item x="3"/>
        <item x="2"/>
        <item x="1"/>
        <item t="default"/>
      </items>
    </pivotField>
    <pivotField dataField="1" showAll="0"/>
    <pivotField numFmtId="14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Total amount (Rs.)" fld="2" baseField="1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593C76CF-43D2-4A0A-A520-A275510D5696}" autoFormatId="16" applyNumberFormats="0" applyBorderFormats="0" applyFontFormats="0" applyPatternFormats="0" applyAlignmentFormats="0" applyWidthHeightFormats="0">
  <queryTableRefresh nextId="5">
    <queryTableFields count="4">
      <queryTableField id="1" name="invoice_id" tableColumnId="1"/>
      <queryTableField id="2" name="vendor" tableColumnId="2"/>
      <queryTableField id="3" name="amount" tableColumnId="3"/>
      <queryTableField id="4" name="date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88FA1EAA-1BC2-4C82-82C6-58851CFC4835}" autoFormatId="16" applyNumberFormats="0" applyBorderFormats="0" applyFontFormats="0" applyPatternFormats="0" applyAlignmentFormats="0" applyWidthHeightFormats="0">
  <queryTableRefresh nextId="6">
    <queryTableFields count="5">
      <queryTableField id="1" name="claim_id" tableColumnId="1"/>
      <queryTableField id="2" name="patient" tableColumnId="2"/>
      <queryTableField id="3" name="amount_claimed" tableColumnId="3"/>
      <queryTableField id="4" name="claim_date" tableColumnId="4"/>
      <queryTableField id="5" name="insurer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" xr16:uid="{520B4F1F-8C92-4E4F-8E6B-650EDD4EE13B}" autoFormatId="16" applyNumberFormats="0" applyBorderFormats="0" applyFontFormats="0" applyPatternFormats="0" applyAlignmentFormats="0" applyWidthHeightFormats="0">
  <queryTableRefresh nextId="5">
    <queryTableFields count="4">
      <queryTableField id="1" name="month" tableColumnId="1"/>
      <queryTableField id="2" name="income" tableColumnId="2"/>
      <queryTableField id="3" name="expenses" tableColumnId="3"/>
      <queryTableField id="4" name="category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FCBFD8D9-4501-4477-8289-0A96DDA290BD}" autoFormatId="16" applyNumberFormats="0" applyBorderFormats="0" applyFontFormats="0" applyPatternFormats="0" applyAlignmentFormats="0" applyWidthHeightFormats="0">
  <queryTableRefresh nextId="4">
    <queryTableFields count="3">
      <queryTableField id="1" name="invoice_id" tableColumnId="1"/>
      <queryTableField id="2" name="paid_amount" tableColumnId="2"/>
      <queryTableField id="3" name="payment_date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5" xr16:uid="{0B50D3D7-DB7B-469D-BB74-7C12F83DDFA6}" autoFormatId="16" applyNumberFormats="0" applyBorderFormats="0" applyFontFormats="0" applyPatternFormats="0" applyAlignmentFormats="0" applyWidthHeightFormats="0">
  <queryTableRefresh nextId="5">
    <queryTableFields count="4">
      <queryTableField id="1" name="claim_id" tableColumnId="1"/>
      <queryTableField id="2" name="amount_settled" tableColumnId="2"/>
      <queryTableField id="3" name="settlement_date" tableColumnId="3"/>
      <queryTableField id="4" name="status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013A8E-68B5-4101-AC55-BAB44E02D537}" name="invoices__capital_I" displayName="invoices__capital_I" ref="A1:D6" tableType="queryTable" totalsRowShown="0">
  <autoFilter ref="A1:D6" xr:uid="{7B013A8E-68B5-4101-AC55-BAB44E02D537}"/>
  <tableColumns count="4">
    <tableColumn id="1" xr3:uid="{A0A39D01-54FF-4A63-BB02-A8CC845FD9E3}" uniqueName="1" name="invoice_id" queryTableFieldId="1" dataDxfId="13"/>
    <tableColumn id="2" xr3:uid="{E7F043D6-C8F9-4DF2-A0E8-690794DCE1D6}" uniqueName="2" name="vendor" queryTableFieldId="2" dataDxfId="12"/>
    <tableColumn id="3" xr3:uid="{FDF5C453-3E03-4DE6-8073-22DD13612E4E}" uniqueName="3" name="amount" queryTableFieldId="3"/>
    <tableColumn id="4" xr3:uid="{067AD929-ADBD-41A7-84F6-B29D20E98120}" uniqueName="4" name="date" queryTableFieldId="4" dataDxfId="1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75915E6-4C2B-4A85-B4EF-B205852118C0}" name="claims" displayName="claims" ref="A1:E6" tableType="queryTable" totalsRowShown="0">
  <autoFilter ref="A1:E6" xr:uid="{375915E6-4C2B-4A85-B4EF-B205852118C0}"/>
  <tableColumns count="5">
    <tableColumn id="1" xr3:uid="{718C5772-DEE6-4227-83FF-CD6A20CADED3}" uniqueName="1" name="claim_id" queryTableFieldId="1" dataDxfId="10"/>
    <tableColumn id="2" xr3:uid="{A80E7254-B2AE-4CAB-A357-1803FE7D346F}" uniqueName="2" name="patient" queryTableFieldId="2" dataDxfId="9"/>
    <tableColumn id="3" xr3:uid="{2AA58247-9314-45D9-A837-EBC7C5626ECC}" uniqueName="3" name="amount_claimed" queryTableFieldId="3"/>
    <tableColumn id="4" xr3:uid="{CB4C3DA8-15B6-4C80-B6FD-3260620F91A2}" uniqueName="4" name="claim_date" queryTableFieldId="4" dataDxfId="8"/>
    <tableColumn id="5" xr3:uid="{9088EDA6-1C10-40CB-A95C-18CDBBCABA7B}" uniqueName="5" name="insurer" queryTableFieldId="5" dataDxfId="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DDAE241-C2E6-4304-98A4-A2087A25B504}" name="budget" displayName="budget" ref="A1:D7" tableType="queryTable" totalsRowShown="0">
  <autoFilter ref="A1:D7" xr:uid="{9DDAE241-C2E6-4304-98A4-A2087A25B504}"/>
  <tableColumns count="4">
    <tableColumn id="1" xr3:uid="{5C3FD859-DF2E-40D3-94C8-D918ADE445BA}" uniqueName="1" name="month" queryTableFieldId="1" dataDxfId="6"/>
    <tableColumn id="2" xr3:uid="{01320769-27DA-4AFD-9B22-97D50354C394}" uniqueName="2" name="income" queryTableFieldId="2"/>
    <tableColumn id="3" xr3:uid="{596CBD6D-842D-4D77-AE3D-8950C88FF9F5}" uniqueName="3" name="expenses" queryTableFieldId="3"/>
    <tableColumn id="4" xr3:uid="{6A2AFF8B-069A-4AE0-9B02-2028CEA84A8E}" uniqueName="4" name="category" queryTableFieldId="4" dataDxfId="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3F5D6CF-DDF5-4AEC-B2CB-E633646C796C}" name="payments" displayName="payments" ref="A1:C4" tableType="queryTable" totalsRowShown="0">
  <autoFilter ref="A1:C4" xr:uid="{C3F5D6CF-DDF5-4AEC-B2CB-E633646C796C}"/>
  <tableColumns count="3">
    <tableColumn id="1" xr3:uid="{946DC8AE-8FD5-472E-B44A-C52128865242}" uniqueName="1" name="invoice_id" queryTableFieldId="1" dataDxfId="4"/>
    <tableColumn id="2" xr3:uid="{97804443-D9A7-4B61-B003-67B06FE8AE31}" uniqueName="2" name="paid_amount" queryTableFieldId="2"/>
    <tableColumn id="3" xr3:uid="{B586079B-83B0-4929-BA33-DEEC1294CC67}" uniqueName="3" name="payment_date" queryTableFieldId="3" dataDxfId="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E7844C1-30F1-4AF3-B3C8-74B39596D00E}" name="settlements" displayName="settlements" ref="A1:D4" tableType="queryTable" totalsRowShown="0">
  <autoFilter ref="A1:D4" xr:uid="{2E7844C1-30F1-4AF3-B3C8-74B39596D00E}"/>
  <tableColumns count="4">
    <tableColumn id="1" xr3:uid="{06FDE681-DF31-43E7-A7D2-B8C1138BEF0B}" uniqueName="1" name="claim_id" queryTableFieldId="1" dataDxfId="2"/>
    <tableColumn id="2" xr3:uid="{8225327F-EFF3-46BB-A3D6-7C57EBFD330E}" uniqueName="2" name="amount_settled" queryTableFieldId="2"/>
    <tableColumn id="3" xr3:uid="{B2EEADA6-9613-4A63-8192-2A69E6900F6F}" uniqueName="3" name="settlement_date" queryTableFieldId="3" dataDxfId="1"/>
    <tableColumn id="4" xr3:uid="{28B6D859-E7E8-4E06-8A1B-CF743E1CCA3F}" uniqueName="4" name="status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3B942-F3EE-4D64-995D-254B63AFB47B}">
  <dimension ref="A1:D6"/>
  <sheetViews>
    <sheetView workbookViewId="0">
      <selection activeCell="H12" sqref="H12"/>
    </sheetView>
  </sheetViews>
  <sheetFormatPr defaultRowHeight="14.5" x14ac:dyDescent="0.35"/>
  <cols>
    <col min="1" max="1" width="11.453125" bestFit="1" customWidth="1"/>
    <col min="2" max="2" width="9" bestFit="1" customWidth="1"/>
    <col min="3" max="3" width="9.7265625" bestFit="1" customWidth="1"/>
    <col min="4" max="4" width="9.4531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>
        <v>5000</v>
      </c>
      <c r="D2" s="1">
        <v>45301</v>
      </c>
    </row>
    <row r="3" spans="1:4" x14ac:dyDescent="0.35">
      <c r="A3" t="s">
        <v>6</v>
      </c>
      <c r="B3" t="s">
        <v>7</v>
      </c>
      <c r="C3">
        <v>3200</v>
      </c>
      <c r="D3" s="1">
        <v>45303</v>
      </c>
    </row>
    <row r="4" spans="1:4" x14ac:dyDescent="0.35">
      <c r="A4" t="s">
        <v>8</v>
      </c>
      <c r="B4" t="s">
        <v>9</v>
      </c>
      <c r="C4">
        <v>7800</v>
      </c>
      <c r="D4" s="1">
        <v>45306</v>
      </c>
    </row>
    <row r="5" spans="1:4" x14ac:dyDescent="0.35">
      <c r="A5" t="s">
        <v>10</v>
      </c>
      <c r="B5" t="s">
        <v>11</v>
      </c>
      <c r="C5">
        <v>4500</v>
      </c>
      <c r="D5" s="1">
        <v>45309</v>
      </c>
    </row>
    <row r="6" spans="1:4" x14ac:dyDescent="0.35">
      <c r="A6" t="s">
        <v>12</v>
      </c>
      <c r="B6" t="s">
        <v>13</v>
      </c>
      <c r="C6">
        <v>6200</v>
      </c>
      <c r="D6" s="1">
        <v>45311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04627-E68C-41F6-B0B0-C750820387B8}">
  <dimension ref="A1:E6"/>
  <sheetViews>
    <sheetView workbookViewId="0">
      <selection activeCell="B3" sqref="B3"/>
    </sheetView>
  </sheetViews>
  <sheetFormatPr defaultRowHeight="14.5" x14ac:dyDescent="0.35"/>
  <cols>
    <col min="1" max="1" width="10" bestFit="1" customWidth="1"/>
    <col min="2" max="2" width="10.81640625" bestFit="1" customWidth="1"/>
    <col min="3" max="3" width="17.26953125" bestFit="1" customWidth="1"/>
    <col min="4" max="4" width="12.26953125" bestFit="1" customWidth="1"/>
    <col min="5" max="5" width="12.54296875" bestFit="1" customWidth="1"/>
  </cols>
  <sheetData>
    <row r="1" spans="1:5" x14ac:dyDescent="0.35">
      <c r="A1" t="s">
        <v>16</v>
      </c>
      <c r="B1" t="s">
        <v>17</v>
      </c>
      <c r="C1" t="s">
        <v>18</v>
      </c>
      <c r="D1" t="s">
        <v>19</v>
      </c>
      <c r="E1" t="s">
        <v>20</v>
      </c>
    </row>
    <row r="2" spans="1:5" x14ac:dyDescent="0.35">
      <c r="A2" t="s">
        <v>21</v>
      </c>
      <c r="B2" t="s">
        <v>22</v>
      </c>
      <c r="C2">
        <v>25000</v>
      </c>
      <c r="D2" s="1">
        <v>45296</v>
      </c>
      <c r="E2" t="s">
        <v>23</v>
      </c>
    </row>
    <row r="3" spans="1:5" x14ac:dyDescent="0.35">
      <c r="A3" t="s">
        <v>24</v>
      </c>
      <c r="B3" t="s">
        <v>25</v>
      </c>
      <c r="C3">
        <v>48000</v>
      </c>
      <c r="D3" s="1">
        <v>45299</v>
      </c>
      <c r="E3" t="s">
        <v>26</v>
      </c>
    </row>
    <row r="4" spans="1:5" x14ac:dyDescent="0.35">
      <c r="A4" t="s">
        <v>27</v>
      </c>
      <c r="B4" t="s">
        <v>28</v>
      </c>
      <c r="C4">
        <v>15000</v>
      </c>
      <c r="D4" s="1">
        <v>45301</v>
      </c>
      <c r="E4" t="s">
        <v>23</v>
      </c>
    </row>
    <row r="5" spans="1:5" x14ac:dyDescent="0.35">
      <c r="A5" t="s">
        <v>29</v>
      </c>
      <c r="B5" t="s">
        <v>30</v>
      </c>
      <c r="C5">
        <v>72000</v>
      </c>
      <c r="D5" s="1">
        <v>45303</v>
      </c>
      <c r="E5" t="s">
        <v>31</v>
      </c>
    </row>
    <row r="6" spans="1:5" x14ac:dyDescent="0.35">
      <c r="A6" t="s">
        <v>32</v>
      </c>
      <c r="B6" t="s">
        <v>33</v>
      </c>
      <c r="C6">
        <v>33000</v>
      </c>
      <c r="D6" s="1">
        <v>45306</v>
      </c>
      <c r="E6" t="s">
        <v>26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0477F-0D7B-4557-ADF4-BE0E49B1B9BB}">
  <dimension ref="A1:D7"/>
  <sheetViews>
    <sheetView workbookViewId="0">
      <selection activeCell="C4" sqref="C4"/>
    </sheetView>
  </sheetViews>
  <sheetFormatPr defaultRowHeight="14.5" x14ac:dyDescent="0.35"/>
  <cols>
    <col min="1" max="1" width="9.453125" bestFit="1" customWidth="1"/>
    <col min="2" max="2" width="9.1796875" bestFit="1" customWidth="1"/>
    <col min="3" max="3" width="10.81640625" bestFit="1" customWidth="1"/>
    <col min="4" max="4" width="10.26953125" bestFit="1" customWidth="1"/>
  </cols>
  <sheetData>
    <row r="1" spans="1:4" x14ac:dyDescent="0.35">
      <c r="A1" t="s">
        <v>38</v>
      </c>
      <c r="B1" t="s">
        <v>39</v>
      </c>
      <c r="C1" t="s">
        <v>40</v>
      </c>
      <c r="D1" t="s">
        <v>41</v>
      </c>
    </row>
    <row r="2" spans="1:4" x14ac:dyDescent="0.35">
      <c r="A2" s="1">
        <v>45170</v>
      </c>
      <c r="B2">
        <v>85000</v>
      </c>
      <c r="C2">
        <v>68000</v>
      </c>
      <c r="D2" t="s">
        <v>42</v>
      </c>
    </row>
    <row r="3" spans="1:4" x14ac:dyDescent="0.35">
      <c r="A3" s="1">
        <v>45200</v>
      </c>
      <c r="B3">
        <v>88000</v>
      </c>
      <c r="C3">
        <v>71000</v>
      </c>
      <c r="D3" t="s">
        <v>42</v>
      </c>
    </row>
    <row r="4" spans="1:4" x14ac:dyDescent="0.35">
      <c r="A4" s="1">
        <v>45231</v>
      </c>
      <c r="B4">
        <v>82000</v>
      </c>
      <c r="C4">
        <v>75000</v>
      </c>
      <c r="D4" t="s">
        <v>42</v>
      </c>
    </row>
    <row r="5" spans="1:4" x14ac:dyDescent="0.35">
      <c r="A5" s="1">
        <v>45261</v>
      </c>
      <c r="B5">
        <v>95000</v>
      </c>
      <c r="C5">
        <v>82000</v>
      </c>
      <c r="D5" t="s">
        <v>42</v>
      </c>
    </row>
    <row r="6" spans="1:4" x14ac:dyDescent="0.35">
      <c r="A6" s="1">
        <v>45292</v>
      </c>
      <c r="B6">
        <v>90000</v>
      </c>
      <c r="C6">
        <v>74000</v>
      </c>
      <c r="D6" t="s">
        <v>42</v>
      </c>
    </row>
    <row r="7" spans="1:4" x14ac:dyDescent="0.35">
      <c r="A7" s="1">
        <v>45323</v>
      </c>
      <c r="B7">
        <v>93000</v>
      </c>
      <c r="C7">
        <v>78000</v>
      </c>
      <c r="D7" t="s">
        <v>42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7FBB6-0600-41FA-8F9C-92113ECE4146}">
  <dimension ref="A1:C4"/>
  <sheetViews>
    <sheetView workbookViewId="0"/>
  </sheetViews>
  <sheetFormatPr defaultRowHeight="14.5" x14ac:dyDescent="0.35"/>
  <cols>
    <col min="1" max="1" width="11.453125" bestFit="1" customWidth="1"/>
    <col min="2" max="2" width="14.36328125" bestFit="1" customWidth="1"/>
    <col min="3" max="3" width="15.453125" bestFit="1" customWidth="1"/>
  </cols>
  <sheetData>
    <row r="1" spans="1:3" x14ac:dyDescent="0.35">
      <c r="A1" t="s">
        <v>0</v>
      </c>
      <c r="B1" t="s">
        <v>14</v>
      </c>
      <c r="C1" t="s">
        <v>15</v>
      </c>
    </row>
    <row r="2" spans="1:3" x14ac:dyDescent="0.35">
      <c r="A2" t="s">
        <v>4</v>
      </c>
      <c r="B2">
        <v>5000</v>
      </c>
      <c r="C2" s="1">
        <v>45311</v>
      </c>
    </row>
    <row r="3" spans="1:3" x14ac:dyDescent="0.35">
      <c r="A3" t="s">
        <v>8</v>
      </c>
      <c r="B3">
        <v>7800</v>
      </c>
      <c r="C3" s="1">
        <v>45313</v>
      </c>
    </row>
    <row r="4" spans="1:3" x14ac:dyDescent="0.35">
      <c r="A4" t="s">
        <v>12</v>
      </c>
      <c r="B4">
        <v>6200</v>
      </c>
      <c r="C4" s="1">
        <v>45316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5D245-3BBE-4331-A603-27A884E34968}">
  <dimension ref="A1:D4"/>
  <sheetViews>
    <sheetView workbookViewId="0"/>
  </sheetViews>
  <sheetFormatPr defaultRowHeight="14.5" x14ac:dyDescent="0.35"/>
  <cols>
    <col min="1" max="1" width="10" bestFit="1" customWidth="1"/>
    <col min="2" max="2" width="16.6328125" bestFit="1" customWidth="1"/>
    <col min="3" max="3" width="17.1796875" bestFit="1" customWidth="1"/>
    <col min="4" max="4" width="8.26953125" bestFit="1" customWidth="1"/>
  </cols>
  <sheetData>
    <row r="1" spans="1:4" x14ac:dyDescent="0.35">
      <c r="A1" t="s">
        <v>16</v>
      </c>
      <c r="B1" t="s">
        <v>34</v>
      </c>
      <c r="C1" t="s">
        <v>35</v>
      </c>
      <c r="D1" t="s">
        <v>36</v>
      </c>
    </row>
    <row r="2" spans="1:4" x14ac:dyDescent="0.35">
      <c r="A2" t="s">
        <v>21</v>
      </c>
      <c r="B2">
        <v>22000</v>
      </c>
      <c r="C2" s="1">
        <v>45316</v>
      </c>
      <c r="D2" t="s">
        <v>37</v>
      </c>
    </row>
    <row r="3" spans="1:4" x14ac:dyDescent="0.35">
      <c r="A3" t="s">
        <v>27</v>
      </c>
      <c r="B3">
        <v>15000</v>
      </c>
      <c r="C3" s="1">
        <v>45319</v>
      </c>
      <c r="D3" t="s">
        <v>37</v>
      </c>
    </row>
    <row r="4" spans="1:4" x14ac:dyDescent="0.35">
      <c r="A4" t="s">
        <v>32</v>
      </c>
      <c r="B4">
        <v>30000</v>
      </c>
      <c r="C4" s="1">
        <v>45321</v>
      </c>
      <c r="D4" t="s">
        <v>37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D8D70-A34C-413F-9037-FD5BADDB964C}">
  <dimension ref="A1:C65"/>
  <sheetViews>
    <sheetView tabSelected="1" topLeftCell="A69" workbookViewId="0">
      <selection activeCell="L27" sqref="L27"/>
    </sheetView>
  </sheetViews>
  <sheetFormatPr defaultRowHeight="14.5" x14ac:dyDescent="0.35"/>
  <cols>
    <col min="1" max="1" width="10.7265625" bestFit="1" customWidth="1"/>
    <col min="2" max="2" width="11.1796875" bestFit="1" customWidth="1"/>
    <col min="3" max="3" width="12.7265625" bestFit="1" customWidth="1"/>
  </cols>
  <sheetData>
    <row r="1" spans="1:2" x14ac:dyDescent="0.35">
      <c r="A1" s="2" t="s">
        <v>43</v>
      </c>
      <c r="B1" t="s">
        <v>45</v>
      </c>
    </row>
    <row r="2" spans="1:2" x14ac:dyDescent="0.35">
      <c r="A2" s="3" t="s">
        <v>5</v>
      </c>
      <c r="B2">
        <v>5000</v>
      </c>
    </row>
    <row r="3" spans="1:2" x14ac:dyDescent="0.35">
      <c r="A3" s="3" t="s">
        <v>13</v>
      </c>
      <c r="B3">
        <v>6200</v>
      </c>
    </row>
    <row r="4" spans="1:2" x14ac:dyDescent="0.35">
      <c r="A4" s="3" t="s">
        <v>11</v>
      </c>
      <c r="B4">
        <v>4500</v>
      </c>
    </row>
    <row r="5" spans="1:2" x14ac:dyDescent="0.35">
      <c r="A5" s="3" t="s">
        <v>9</v>
      </c>
      <c r="B5">
        <v>7800</v>
      </c>
    </row>
    <row r="6" spans="1:2" x14ac:dyDescent="0.35">
      <c r="A6" s="3" t="s">
        <v>7</v>
      </c>
      <c r="B6">
        <v>3200</v>
      </c>
    </row>
    <row r="7" spans="1:2" x14ac:dyDescent="0.35">
      <c r="A7" s="3" t="s">
        <v>44</v>
      </c>
      <c r="B7">
        <v>26700</v>
      </c>
    </row>
    <row r="35" spans="1:2" x14ac:dyDescent="0.35">
      <c r="A35" s="2" t="s">
        <v>47</v>
      </c>
      <c r="B35" t="s">
        <v>46</v>
      </c>
    </row>
    <row r="36" spans="1:2" x14ac:dyDescent="0.35">
      <c r="A36" s="3" t="s">
        <v>26</v>
      </c>
      <c r="B36">
        <v>81000</v>
      </c>
    </row>
    <row r="37" spans="1:2" x14ac:dyDescent="0.35">
      <c r="A37" s="3" t="s">
        <v>31</v>
      </c>
      <c r="B37">
        <v>72000</v>
      </c>
    </row>
    <row r="38" spans="1:2" x14ac:dyDescent="0.35">
      <c r="A38" s="3" t="s">
        <v>23</v>
      </c>
      <c r="B38">
        <v>40000</v>
      </c>
    </row>
    <row r="39" spans="1:2" x14ac:dyDescent="0.35">
      <c r="A39" s="3" t="s">
        <v>44</v>
      </c>
      <c r="B39">
        <v>193000</v>
      </c>
    </row>
    <row r="58" spans="1:3" x14ac:dyDescent="0.35">
      <c r="A58" s="2" t="s">
        <v>54</v>
      </c>
      <c r="B58" t="s">
        <v>55</v>
      </c>
      <c r="C58" t="s">
        <v>56</v>
      </c>
    </row>
    <row r="59" spans="1:3" x14ac:dyDescent="0.35">
      <c r="A59" s="3" t="s">
        <v>48</v>
      </c>
      <c r="B59">
        <v>90000</v>
      </c>
      <c r="C59">
        <v>74000</v>
      </c>
    </row>
    <row r="60" spans="1:3" x14ac:dyDescent="0.35">
      <c r="A60" s="3" t="s">
        <v>49</v>
      </c>
      <c r="B60">
        <v>93000</v>
      </c>
      <c r="C60">
        <v>78000</v>
      </c>
    </row>
    <row r="61" spans="1:3" x14ac:dyDescent="0.35">
      <c r="A61" s="3" t="s">
        <v>50</v>
      </c>
      <c r="B61">
        <v>85000</v>
      </c>
      <c r="C61">
        <v>68000</v>
      </c>
    </row>
    <row r="62" spans="1:3" x14ac:dyDescent="0.35">
      <c r="A62" s="3" t="s">
        <v>51</v>
      </c>
      <c r="B62">
        <v>88000</v>
      </c>
      <c r="C62">
        <v>71000</v>
      </c>
    </row>
    <row r="63" spans="1:3" x14ac:dyDescent="0.35">
      <c r="A63" s="3" t="s">
        <v>52</v>
      </c>
      <c r="B63">
        <v>82000</v>
      </c>
      <c r="C63">
        <v>75000</v>
      </c>
    </row>
    <row r="64" spans="1:3" x14ac:dyDescent="0.35">
      <c r="A64" s="3" t="s">
        <v>53</v>
      </c>
      <c r="B64">
        <v>95000</v>
      </c>
      <c r="C64">
        <v>82000</v>
      </c>
    </row>
    <row r="65" spans="1:3" x14ac:dyDescent="0.35">
      <c r="A65" s="3" t="s">
        <v>44</v>
      </c>
      <c r="B65">
        <v>533000</v>
      </c>
      <c r="C65">
        <v>448000</v>
      </c>
    </row>
  </sheetData>
  <pageMargins left="0.7" right="0.7" top="0.75" bottom="0.75" header="0.3" footer="0.3"/>
  <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F50A2-A7FB-4D84-A3FB-83A08DD597A4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A987E6B-5CB2-4461-8B93-AC6C73DDDF4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invoices (capital I)</vt:lpstr>
      <vt:lpstr>claims</vt:lpstr>
      <vt:lpstr>budget</vt:lpstr>
      <vt:lpstr>payments</vt:lpstr>
      <vt:lpstr>settlements</vt:lpstr>
      <vt:lpstr>analysis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Ritu Verma</dc:creator>
  <cp:lastModifiedBy>Ritu Verma</cp:lastModifiedBy>
  <dcterms:created xsi:type="dcterms:W3CDTF">2026-04-04T09:44:42Z</dcterms:created>
  <dcterms:modified xsi:type="dcterms:W3CDTF">2026-04-05T12:04:38Z</dcterms:modified>
</cp:coreProperties>
</file>